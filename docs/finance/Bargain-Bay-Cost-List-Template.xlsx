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List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;($#,##0.00);-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3A393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164" fontId="4" fillId="2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4" fillId="2" borderId="1" pivotButton="0" quotePrefix="0" xfId="0"/>
    <xf numFmtId="166" fontId="4" fillId="2" borderId="1" pivotButton="0" quotePrefix="0" xfId="0"/>
    <xf numFmtId="164" fontId="4" fillId="2" borderId="1" pivotButton="0" quotePrefix="0" xfId="0"/>
    <xf numFmtId="165" fontId="1" fillId="4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4" customWidth="1" min="4" max="4"/>
    <col width="22" customWidth="1" min="5" max="5"/>
    <col width="16" customWidth="1" min="6" max="6"/>
    <col width="36" customWidth="1" min="7" max="7"/>
    <col width="18" customWidth="1" min="8" max="8"/>
    <col width="16" customWidth="1" min="9" max="9"/>
  </cols>
  <sheetData>
    <row r="1">
      <c r="A1" s="1" t="inlineStr">
        <is>
          <t>Bargain Bay - Cost List</t>
        </is>
      </c>
    </row>
    <row r="2" ht="44" customHeight="1">
      <c r="A2" s="2" t="inlineStr">
        <is>
          <t>Fill the yellow cells. One row per bill, amount BEFORE tax (HST is recovered, so it is not a cost). Do NOT list wages, truck day rates or fuel - the daily P&amp;L already counts those from clock-ins and dispatch. Row 9 is an example: overwrite it.</t>
        </is>
      </c>
    </row>
    <row r="3">
      <c r="A3" s="3" t="inlineStr">
        <is>
          <t>Check cost on this date:</t>
        </is>
      </c>
      <c r="B3" s="4" t="n">
        <v>46303</v>
      </c>
    </row>
    <row r="4">
      <c r="A4" s="3" t="inlineStr">
        <is>
          <t>Overhead on that date ($)</t>
        </is>
      </c>
      <c r="B4" s="5">
        <f>SUM(H9:H68)</f>
        <v/>
      </c>
      <c r="C4" s="6" t="inlineStr">
        <is>
          <t>Each bill spread over the days it covers: a month's days add back to the bill. Matches the app.</t>
        </is>
      </c>
    </row>
    <row r="5">
      <c r="A5" s="3" t="inlineStr">
        <is>
          <t>Average per day ($)</t>
        </is>
      </c>
      <c r="B5" s="5">
        <f>SUM(I9:I68)</f>
        <v/>
      </c>
      <c r="C5" s="6" t="inlineStr">
        <is>
          <t>Smooth average (monthly x 12 / 365). One-time costs are excluded here and only count on their own date.</t>
        </is>
      </c>
    </row>
    <row r="6">
      <c r="A6" s="3" t="inlineStr">
        <is>
          <t>Average per month ($)</t>
        </is>
      </c>
      <c r="B6" s="5">
        <f>B5*365/12</f>
        <v/>
      </c>
    </row>
    <row r="8" ht="32" customHeight="1">
      <c r="A8" s="7" t="inlineStr">
        <is>
          <t>Cost</t>
        </is>
      </c>
      <c r="B8" s="7" t="inlineStr">
        <is>
          <t>Category</t>
        </is>
      </c>
      <c r="C8" s="7" t="inlineStr">
        <is>
          <t>Amount before tax ($)</t>
        </is>
      </c>
      <c r="D8" s="7" t="inlineStr">
        <is>
          <t>Billed</t>
        </is>
      </c>
      <c r="E8" s="7" t="inlineStr">
        <is>
          <t>Starts (or the date, if one time)</t>
        </is>
      </c>
      <c r="F8" s="7" t="inlineStr">
        <is>
          <t>Ends (optional)</t>
        </is>
      </c>
      <c r="G8" s="7" t="inlineStr">
        <is>
          <t>Note</t>
        </is>
      </c>
      <c r="H8" s="7" t="inlineStr">
        <is>
          <t>Cost on chosen date ($)</t>
        </is>
      </c>
      <c r="I8" s="7" t="inlineStr">
        <is>
          <t>Average per day ($)</t>
        </is>
      </c>
    </row>
    <row r="9">
      <c r="A9" s="8" t="inlineStr">
        <is>
          <t>EXAMPLE - Rent (overwrite me)</t>
        </is>
      </c>
      <c r="B9" s="8" t="inlineStr">
        <is>
          <t>Rent</t>
        </is>
      </c>
      <c r="C9" s="9" t="n">
        <v>1000</v>
      </c>
      <c r="D9" s="8" t="inlineStr">
        <is>
          <t>Monthly</t>
        </is>
      </c>
      <c r="E9" s="10" t="n">
        <v>46296</v>
      </c>
      <c r="F9" s="10" t="n"/>
      <c r="G9" s="8" t="inlineStr">
        <is>
          <t>Example figure only, not our real rent</t>
        </is>
      </c>
      <c r="H9" s="11">
        <f>IF(OR(C9="",D9="",E9=""),0,IF(OR($B$3&lt;E9,AND(F9&lt;&gt;"",$B$3&gt;F9)),0,CHOOSE(MATCH(D9,Lists!$B$2:$B$7,0),C9,C9/7,C9/DAY(EOMONTH($B$3,0)),C9/(EDATE(DATE(YEAR($B$3),3*INT((MONTH($B$3)-1)/3)+1,1),3)-DATE(YEAR($B$3),3*INT((MONTH($B$3)-1)/3)+1,1)),C9/(DATE(YEAR($B$3)+1,1,1)-DATE(YEAR($B$3),1,1)),IF($B$3=E9,C9,0))))</f>
        <v/>
      </c>
      <c r="I9" s="11">
        <f>IF(OR(C9="",D9=""),0,CHOOSE(MATCH(D9,Lists!$B$2:$B$7,0),C9,C9/7,C9*12/365,C9*4/365,C9/365,0))</f>
        <v/>
      </c>
    </row>
    <row r="10">
      <c r="A10" s="8" t="n"/>
      <c r="B10" s="8" t="n"/>
      <c r="C10" s="9" t="n"/>
      <c r="D10" s="8" t="n"/>
      <c r="E10" s="10" t="n"/>
      <c r="F10" s="10" t="n"/>
      <c r="G10" s="8" t="n"/>
      <c r="H10" s="11">
        <f>IF(OR(C10="",D10="",E10=""),0,IF(OR($B$3&lt;E10,AND(F10&lt;&gt;"",$B$3&gt;F10)),0,CHOOSE(MATCH(D10,Lists!$B$2:$B$7,0),C10,C10/7,C10/DAY(EOMONTH($B$3,0)),C10/(EDATE(DATE(YEAR($B$3),3*INT((MONTH($B$3)-1)/3)+1,1),3)-DATE(YEAR($B$3),3*INT((MONTH($B$3)-1)/3)+1,1)),C10/(DATE(YEAR($B$3)+1,1,1)-DATE(YEAR($B$3),1,1)),IF($B$3=E10,C10,0))))</f>
        <v/>
      </c>
      <c r="I10" s="11">
        <f>IF(OR(C10="",D10=""),0,CHOOSE(MATCH(D10,Lists!$B$2:$B$7,0),C10,C10/7,C10*12/365,C10*4/365,C10/365,0))</f>
        <v/>
      </c>
    </row>
    <row r="11">
      <c r="A11" s="8" t="n"/>
      <c r="B11" s="8" t="n"/>
      <c r="C11" s="9" t="n"/>
      <c r="D11" s="8" t="n"/>
      <c r="E11" s="10" t="n"/>
      <c r="F11" s="10" t="n"/>
      <c r="G11" s="8" t="n"/>
      <c r="H11" s="11">
        <f>IF(OR(C11="",D11="",E11=""),0,IF(OR($B$3&lt;E11,AND(F11&lt;&gt;"",$B$3&gt;F11)),0,CHOOSE(MATCH(D11,Lists!$B$2:$B$7,0),C11,C11/7,C11/DAY(EOMONTH($B$3,0)),C11/(EDATE(DATE(YEAR($B$3),3*INT((MONTH($B$3)-1)/3)+1,1),3)-DATE(YEAR($B$3),3*INT((MONTH($B$3)-1)/3)+1,1)),C11/(DATE(YEAR($B$3)+1,1,1)-DATE(YEAR($B$3),1,1)),IF($B$3=E11,C11,0))))</f>
        <v/>
      </c>
      <c r="I11" s="11">
        <f>IF(OR(C11="",D11=""),0,CHOOSE(MATCH(D11,Lists!$B$2:$B$7,0),C11,C11/7,C11*12/365,C11*4/365,C11/365,0))</f>
        <v/>
      </c>
    </row>
    <row r="12">
      <c r="A12" s="8" t="n"/>
      <c r="B12" s="8" t="n"/>
      <c r="C12" s="9" t="n"/>
      <c r="D12" s="8" t="n"/>
      <c r="E12" s="10" t="n"/>
      <c r="F12" s="10" t="n"/>
      <c r="G12" s="8" t="n"/>
      <c r="H12" s="11">
        <f>IF(OR(C12="",D12="",E12=""),0,IF(OR($B$3&lt;E12,AND(F12&lt;&gt;"",$B$3&gt;F12)),0,CHOOSE(MATCH(D12,Lists!$B$2:$B$7,0),C12,C12/7,C12/DAY(EOMONTH($B$3,0)),C12/(EDATE(DATE(YEAR($B$3),3*INT((MONTH($B$3)-1)/3)+1,1),3)-DATE(YEAR($B$3),3*INT((MONTH($B$3)-1)/3)+1,1)),C12/(DATE(YEAR($B$3)+1,1,1)-DATE(YEAR($B$3),1,1)),IF($B$3=E12,C12,0))))</f>
        <v/>
      </c>
      <c r="I12" s="11">
        <f>IF(OR(C12="",D12=""),0,CHOOSE(MATCH(D12,Lists!$B$2:$B$7,0),C12,C12/7,C12*12/365,C12*4/365,C12/365,0))</f>
        <v/>
      </c>
    </row>
    <row r="13">
      <c r="A13" s="8" t="n"/>
      <c r="B13" s="8" t="n"/>
      <c r="C13" s="9" t="n"/>
      <c r="D13" s="8" t="n"/>
      <c r="E13" s="10" t="n"/>
      <c r="F13" s="10" t="n"/>
      <c r="G13" s="8" t="n"/>
      <c r="H13" s="11">
        <f>IF(OR(C13="",D13="",E13=""),0,IF(OR($B$3&lt;E13,AND(F13&lt;&gt;"",$B$3&gt;F13)),0,CHOOSE(MATCH(D13,Lists!$B$2:$B$7,0),C13,C13/7,C13/DAY(EOMONTH($B$3,0)),C13/(EDATE(DATE(YEAR($B$3),3*INT((MONTH($B$3)-1)/3)+1,1),3)-DATE(YEAR($B$3),3*INT((MONTH($B$3)-1)/3)+1,1)),C13/(DATE(YEAR($B$3)+1,1,1)-DATE(YEAR($B$3),1,1)),IF($B$3=E13,C13,0))))</f>
        <v/>
      </c>
      <c r="I13" s="11">
        <f>IF(OR(C13="",D13=""),0,CHOOSE(MATCH(D13,Lists!$B$2:$B$7,0),C13,C13/7,C13*12/365,C13*4/365,C13/365,0))</f>
        <v/>
      </c>
    </row>
    <row r="14">
      <c r="A14" s="8" t="n"/>
      <c r="B14" s="8" t="n"/>
      <c r="C14" s="9" t="n"/>
      <c r="D14" s="8" t="n"/>
      <c r="E14" s="10" t="n"/>
      <c r="F14" s="10" t="n"/>
      <c r="G14" s="8" t="n"/>
      <c r="H14" s="11">
        <f>IF(OR(C14="",D14="",E14=""),0,IF(OR($B$3&lt;E14,AND(F14&lt;&gt;"",$B$3&gt;F14)),0,CHOOSE(MATCH(D14,Lists!$B$2:$B$7,0),C14,C14/7,C14/DAY(EOMONTH($B$3,0)),C14/(EDATE(DATE(YEAR($B$3),3*INT((MONTH($B$3)-1)/3)+1,1),3)-DATE(YEAR($B$3),3*INT((MONTH($B$3)-1)/3)+1,1)),C14/(DATE(YEAR($B$3)+1,1,1)-DATE(YEAR($B$3),1,1)),IF($B$3=E14,C14,0))))</f>
        <v/>
      </c>
      <c r="I14" s="11">
        <f>IF(OR(C14="",D14=""),0,CHOOSE(MATCH(D14,Lists!$B$2:$B$7,0),C14,C14/7,C14*12/365,C14*4/365,C14/365,0))</f>
        <v/>
      </c>
    </row>
    <row r="15">
      <c r="A15" s="8" t="n"/>
      <c r="B15" s="8" t="n"/>
      <c r="C15" s="9" t="n"/>
      <c r="D15" s="8" t="n"/>
      <c r="E15" s="10" t="n"/>
      <c r="F15" s="10" t="n"/>
      <c r="G15" s="8" t="n"/>
      <c r="H15" s="11">
        <f>IF(OR(C15="",D15="",E15=""),0,IF(OR($B$3&lt;E15,AND(F15&lt;&gt;"",$B$3&gt;F15)),0,CHOOSE(MATCH(D15,Lists!$B$2:$B$7,0),C15,C15/7,C15/DAY(EOMONTH($B$3,0)),C15/(EDATE(DATE(YEAR($B$3),3*INT((MONTH($B$3)-1)/3)+1,1),3)-DATE(YEAR($B$3),3*INT((MONTH($B$3)-1)/3)+1,1)),C15/(DATE(YEAR($B$3)+1,1,1)-DATE(YEAR($B$3),1,1)),IF($B$3=E15,C15,0))))</f>
        <v/>
      </c>
      <c r="I15" s="11">
        <f>IF(OR(C15="",D15=""),0,CHOOSE(MATCH(D15,Lists!$B$2:$B$7,0),C15,C15/7,C15*12/365,C15*4/365,C15/365,0))</f>
        <v/>
      </c>
    </row>
    <row r="16">
      <c r="A16" s="8" t="n"/>
      <c r="B16" s="8" t="n"/>
      <c r="C16" s="9" t="n"/>
      <c r="D16" s="8" t="n"/>
      <c r="E16" s="10" t="n"/>
      <c r="F16" s="10" t="n"/>
      <c r="G16" s="8" t="n"/>
      <c r="H16" s="11">
        <f>IF(OR(C16="",D16="",E16=""),0,IF(OR($B$3&lt;E16,AND(F16&lt;&gt;"",$B$3&gt;F16)),0,CHOOSE(MATCH(D16,Lists!$B$2:$B$7,0),C16,C16/7,C16/DAY(EOMONTH($B$3,0)),C16/(EDATE(DATE(YEAR($B$3),3*INT((MONTH($B$3)-1)/3)+1,1),3)-DATE(YEAR($B$3),3*INT((MONTH($B$3)-1)/3)+1,1)),C16/(DATE(YEAR($B$3)+1,1,1)-DATE(YEAR($B$3),1,1)),IF($B$3=E16,C16,0))))</f>
        <v/>
      </c>
      <c r="I16" s="11">
        <f>IF(OR(C16="",D16=""),0,CHOOSE(MATCH(D16,Lists!$B$2:$B$7,0),C16,C16/7,C16*12/365,C16*4/365,C16/365,0))</f>
        <v/>
      </c>
    </row>
    <row r="17">
      <c r="A17" s="8" t="n"/>
      <c r="B17" s="8" t="n"/>
      <c r="C17" s="9" t="n"/>
      <c r="D17" s="8" t="n"/>
      <c r="E17" s="10" t="n"/>
      <c r="F17" s="10" t="n"/>
      <c r="G17" s="8" t="n"/>
      <c r="H17" s="11">
        <f>IF(OR(C17="",D17="",E17=""),0,IF(OR($B$3&lt;E17,AND(F17&lt;&gt;"",$B$3&gt;F17)),0,CHOOSE(MATCH(D17,Lists!$B$2:$B$7,0),C17,C17/7,C17/DAY(EOMONTH($B$3,0)),C17/(EDATE(DATE(YEAR($B$3),3*INT((MONTH($B$3)-1)/3)+1,1),3)-DATE(YEAR($B$3),3*INT((MONTH($B$3)-1)/3)+1,1)),C17/(DATE(YEAR($B$3)+1,1,1)-DATE(YEAR($B$3),1,1)),IF($B$3=E17,C17,0))))</f>
        <v/>
      </c>
      <c r="I17" s="11">
        <f>IF(OR(C17="",D17=""),0,CHOOSE(MATCH(D17,Lists!$B$2:$B$7,0),C17,C17/7,C17*12/365,C17*4/365,C17/365,0))</f>
        <v/>
      </c>
    </row>
    <row r="18">
      <c r="A18" s="8" t="n"/>
      <c r="B18" s="8" t="n"/>
      <c r="C18" s="9" t="n"/>
      <c r="D18" s="8" t="n"/>
      <c r="E18" s="10" t="n"/>
      <c r="F18" s="10" t="n"/>
      <c r="G18" s="8" t="n"/>
      <c r="H18" s="11">
        <f>IF(OR(C18="",D18="",E18=""),0,IF(OR($B$3&lt;E18,AND(F18&lt;&gt;"",$B$3&gt;F18)),0,CHOOSE(MATCH(D18,Lists!$B$2:$B$7,0),C18,C18/7,C18/DAY(EOMONTH($B$3,0)),C18/(EDATE(DATE(YEAR($B$3),3*INT((MONTH($B$3)-1)/3)+1,1),3)-DATE(YEAR($B$3),3*INT((MONTH($B$3)-1)/3)+1,1)),C18/(DATE(YEAR($B$3)+1,1,1)-DATE(YEAR($B$3),1,1)),IF($B$3=E18,C18,0))))</f>
        <v/>
      </c>
      <c r="I18" s="11">
        <f>IF(OR(C18="",D18=""),0,CHOOSE(MATCH(D18,Lists!$B$2:$B$7,0),C18,C18/7,C18*12/365,C18*4/365,C18/365,0))</f>
        <v/>
      </c>
    </row>
    <row r="19">
      <c r="A19" s="8" t="n"/>
      <c r="B19" s="8" t="n"/>
      <c r="C19" s="9" t="n"/>
      <c r="D19" s="8" t="n"/>
      <c r="E19" s="10" t="n"/>
      <c r="F19" s="10" t="n"/>
      <c r="G19" s="8" t="n"/>
      <c r="H19" s="11">
        <f>IF(OR(C19="",D19="",E19=""),0,IF(OR($B$3&lt;E19,AND(F19&lt;&gt;"",$B$3&gt;F19)),0,CHOOSE(MATCH(D19,Lists!$B$2:$B$7,0),C19,C19/7,C19/DAY(EOMONTH($B$3,0)),C19/(EDATE(DATE(YEAR($B$3),3*INT((MONTH($B$3)-1)/3)+1,1),3)-DATE(YEAR($B$3),3*INT((MONTH($B$3)-1)/3)+1,1)),C19/(DATE(YEAR($B$3)+1,1,1)-DATE(YEAR($B$3),1,1)),IF($B$3=E19,C19,0))))</f>
        <v/>
      </c>
      <c r="I19" s="11">
        <f>IF(OR(C19="",D19=""),0,CHOOSE(MATCH(D19,Lists!$B$2:$B$7,0),C19,C19/7,C19*12/365,C19*4/365,C19/365,0))</f>
        <v/>
      </c>
    </row>
    <row r="20">
      <c r="A20" s="8" t="n"/>
      <c r="B20" s="8" t="n"/>
      <c r="C20" s="9" t="n"/>
      <c r="D20" s="8" t="n"/>
      <c r="E20" s="10" t="n"/>
      <c r="F20" s="10" t="n"/>
      <c r="G20" s="8" t="n"/>
      <c r="H20" s="11">
        <f>IF(OR(C20="",D20="",E20=""),0,IF(OR($B$3&lt;E20,AND(F20&lt;&gt;"",$B$3&gt;F20)),0,CHOOSE(MATCH(D20,Lists!$B$2:$B$7,0),C20,C20/7,C20/DAY(EOMONTH($B$3,0)),C20/(EDATE(DATE(YEAR($B$3),3*INT((MONTH($B$3)-1)/3)+1,1),3)-DATE(YEAR($B$3),3*INT((MONTH($B$3)-1)/3)+1,1)),C20/(DATE(YEAR($B$3)+1,1,1)-DATE(YEAR($B$3),1,1)),IF($B$3=E20,C20,0))))</f>
        <v/>
      </c>
      <c r="I20" s="11">
        <f>IF(OR(C20="",D20=""),0,CHOOSE(MATCH(D20,Lists!$B$2:$B$7,0),C20,C20/7,C20*12/365,C20*4/365,C20/365,0))</f>
        <v/>
      </c>
    </row>
    <row r="21">
      <c r="A21" s="8" t="n"/>
      <c r="B21" s="8" t="n"/>
      <c r="C21" s="9" t="n"/>
      <c r="D21" s="8" t="n"/>
      <c r="E21" s="10" t="n"/>
      <c r="F21" s="10" t="n"/>
      <c r="G21" s="8" t="n"/>
      <c r="H21" s="11">
        <f>IF(OR(C21="",D21="",E21=""),0,IF(OR($B$3&lt;E21,AND(F21&lt;&gt;"",$B$3&gt;F21)),0,CHOOSE(MATCH(D21,Lists!$B$2:$B$7,0),C21,C21/7,C21/DAY(EOMONTH($B$3,0)),C21/(EDATE(DATE(YEAR($B$3),3*INT((MONTH($B$3)-1)/3)+1,1),3)-DATE(YEAR($B$3),3*INT((MONTH($B$3)-1)/3)+1,1)),C21/(DATE(YEAR($B$3)+1,1,1)-DATE(YEAR($B$3),1,1)),IF($B$3=E21,C21,0))))</f>
        <v/>
      </c>
      <c r="I21" s="11">
        <f>IF(OR(C21="",D21=""),0,CHOOSE(MATCH(D21,Lists!$B$2:$B$7,0),C21,C21/7,C21*12/365,C21*4/365,C21/365,0))</f>
        <v/>
      </c>
    </row>
    <row r="22">
      <c r="A22" s="8" t="n"/>
      <c r="B22" s="8" t="n"/>
      <c r="C22" s="9" t="n"/>
      <c r="D22" s="8" t="n"/>
      <c r="E22" s="10" t="n"/>
      <c r="F22" s="10" t="n"/>
      <c r="G22" s="8" t="n"/>
      <c r="H22" s="11">
        <f>IF(OR(C22="",D22="",E22=""),0,IF(OR($B$3&lt;E22,AND(F22&lt;&gt;"",$B$3&gt;F22)),0,CHOOSE(MATCH(D22,Lists!$B$2:$B$7,0),C22,C22/7,C22/DAY(EOMONTH($B$3,0)),C22/(EDATE(DATE(YEAR($B$3),3*INT((MONTH($B$3)-1)/3)+1,1),3)-DATE(YEAR($B$3),3*INT((MONTH($B$3)-1)/3)+1,1)),C22/(DATE(YEAR($B$3)+1,1,1)-DATE(YEAR($B$3),1,1)),IF($B$3=E22,C22,0))))</f>
        <v/>
      </c>
      <c r="I22" s="11">
        <f>IF(OR(C22="",D22=""),0,CHOOSE(MATCH(D22,Lists!$B$2:$B$7,0),C22,C22/7,C22*12/365,C22*4/365,C22/365,0))</f>
        <v/>
      </c>
    </row>
    <row r="23">
      <c r="A23" s="8" t="n"/>
      <c r="B23" s="8" t="n"/>
      <c r="C23" s="9" t="n"/>
      <c r="D23" s="8" t="n"/>
      <c r="E23" s="10" t="n"/>
      <c r="F23" s="10" t="n"/>
      <c r="G23" s="8" t="n"/>
      <c r="H23" s="11">
        <f>IF(OR(C23="",D23="",E23=""),0,IF(OR($B$3&lt;E23,AND(F23&lt;&gt;"",$B$3&gt;F23)),0,CHOOSE(MATCH(D23,Lists!$B$2:$B$7,0),C23,C23/7,C23/DAY(EOMONTH($B$3,0)),C23/(EDATE(DATE(YEAR($B$3),3*INT((MONTH($B$3)-1)/3)+1,1),3)-DATE(YEAR($B$3),3*INT((MONTH($B$3)-1)/3)+1,1)),C23/(DATE(YEAR($B$3)+1,1,1)-DATE(YEAR($B$3),1,1)),IF($B$3=E23,C23,0))))</f>
        <v/>
      </c>
      <c r="I23" s="11">
        <f>IF(OR(C23="",D23=""),0,CHOOSE(MATCH(D23,Lists!$B$2:$B$7,0),C23,C23/7,C23*12/365,C23*4/365,C23/365,0))</f>
        <v/>
      </c>
    </row>
    <row r="24">
      <c r="A24" s="8" t="n"/>
      <c r="B24" s="8" t="n"/>
      <c r="C24" s="9" t="n"/>
      <c r="D24" s="8" t="n"/>
      <c r="E24" s="10" t="n"/>
      <c r="F24" s="10" t="n"/>
      <c r="G24" s="8" t="n"/>
      <c r="H24" s="11">
        <f>IF(OR(C24="",D24="",E24=""),0,IF(OR($B$3&lt;E24,AND(F24&lt;&gt;"",$B$3&gt;F24)),0,CHOOSE(MATCH(D24,Lists!$B$2:$B$7,0),C24,C24/7,C24/DAY(EOMONTH($B$3,0)),C24/(EDATE(DATE(YEAR($B$3),3*INT((MONTH($B$3)-1)/3)+1,1),3)-DATE(YEAR($B$3),3*INT((MONTH($B$3)-1)/3)+1,1)),C24/(DATE(YEAR($B$3)+1,1,1)-DATE(YEAR($B$3),1,1)),IF($B$3=E24,C24,0))))</f>
        <v/>
      </c>
      <c r="I24" s="11">
        <f>IF(OR(C24="",D24=""),0,CHOOSE(MATCH(D24,Lists!$B$2:$B$7,0),C24,C24/7,C24*12/365,C24*4/365,C24/365,0))</f>
        <v/>
      </c>
    </row>
    <row r="25">
      <c r="A25" s="8" t="n"/>
      <c r="B25" s="8" t="n"/>
      <c r="C25" s="9" t="n"/>
      <c r="D25" s="8" t="n"/>
      <c r="E25" s="10" t="n"/>
      <c r="F25" s="10" t="n"/>
      <c r="G25" s="8" t="n"/>
      <c r="H25" s="11">
        <f>IF(OR(C25="",D25="",E25=""),0,IF(OR($B$3&lt;E25,AND(F25&lt;&gt;"",$B$3&gt;F25)),0,CHOOSE(MATCH(D25,Lists!$B$2:$B$7,0),C25,C25/7,C25/DAY(EOMONTH($B$3,0)),C25/(EDATE(DATE(YEAR($B$3),3*INT((MONTH($B$3)-1)/3)+1,1),3)-DATE(YEAR($B$3),3*INT((MONTH($B$3)-1)/3)+1,1)),C25/(DATE(YEAR($B$3)+1,1,1)-DATE(YEAR($B$3),1,1)),IF($B$3=E25,C25,0))))</f>
        <v/>
      </c>
      <c r="I25" s="11">
        <f>IF(OR(C25="",D25=""),0,CHOOSE(MATCH(D25,Lists!$B$2:$B$7,0),C25,C25/7,C25*12/365,C25*4/365,C25/365,0))</f>
        <v/>
      </c>
    </row>
    <row r="26">
      <c r="A26" s="8" t="n"/>
      <c r="B26" s="8" t="n"/>
      <c r="C26" s="9" t="n"/>
      <c r="D26" s="8" t="n"/>
      <c r="E26" s="10" t="n"/>
      <c r="F26" s="10" t="n"/>
      <c r="G26" s="8" t="n"/>
      <c r="H26" s="11">
        <f>IF(OR(C26="",D26="",E26=""),0,IF(OR($B$3&lt;E26,AND(F26&lt;&gt;"",$B$3&gt;F26)),0,CHOOSE(MATCH(D26,Lists!$B$2:$B$7,0),C26,C26/7,C26/DAY(EOMONTH($B$3,0)),C26/(EDATE(DATE(YEAR($B$3),3*INT((MONTH($B$3)-1)/3)+1,1),3)-DATE(YEAR($B$3),3*INT((MONTH($B$3)-1)/3)+1,1)),C26/(DATE(YEAR($B$3)+1,1,1)-DATE(YEAR($B$3),1,1)),IF($B$3=E26,C26,0))))</f>
        <v/>
      </c>
      <c r="I26" s="11">
        <f>IF(OR(C26="",D26=""),0,CHOOSE(MATCH(D26,Lists!$B$2:$B$7,0),C26,C26/7,C26*12/365,C26*4/365,C26/365,0))</f>
        <v/>
      </c>
    </row>
    <row r="27">
      <c r="A27" s="8" t="n"/>
      <c r="B27" s="8" t="n"/>
      <c r="C27" s="9" t="n"/>
      <c r="D27" s="8" t="n"/>
      <c r="E27" s="10" t="n"/>
      <c r="F27" s="10" t="n"/>
      <c r="G27" s="8" t="n"/>
      <c r="H27" s="11">
        <f>IF(OR(C27="",D27="",E27=""),0,IF(OR($B$3&lt;E27,AND(F27&lt;&gt;"",$B$3&gt;F27)),0,CHOOSE(MATCH(D27,Lists!$B$2:$B$7,0),C27,C27/7,C27/DAY(EOMONTH($B$3,0)),C27/(EDATE(DATE(YEAR($B$3),3*INT((MONTH($B$3)-1)/3)+1,1),3)-DATE(YEAR($B$3),3*INT((MONTH($B$3)-1)/3)+1,1)),C27/(DATE(YEAR($B$3)+1,1,1)-DATE(YEAR($B$3),1,1)),IF($B$3=E27,C27,0))))</f>
        <v/>
      </c>
      <c r="I27" s="11">
        <f>IF(OR(C27="",D27=""),0,CHOOSE(MATCH(D27,Lists!$B$2:$B$7,0),C27,C27/7,C27*12/365,C27*4/365,C27/365,0))</f>
        <v/>
      </c>
    </row>
    <row r="28">
      <c r="A28" s="8" t="n"/>
      <c r="B28" s="8" t="n"/>
      <c r="C28" s="9" t="n"/>
      <c r="D28" s="8" t="n"/>
      <c r="E28" s="10" t="n"/>
      <c r="F28" s="10" t="n"/>
      <c r="G28" s="8" t="n"/>
      <c r="H28" s="11">
        <f>IF(OR(C28="",D28="",E28=""),0,IF(OR($B$3&lt;E28,AND(F28&lt;&gt;"",$B$3&gt;F28)),0,CHOOSE(MATCH(D28,Lists!$B$2:$B$7,0),C28,C28/7,C28/DAY(EOMONTH($B$3,0)),C28/(EDATE(DATE(YEAR($B$3),3*INT((MONTH($B$3)-1)/3)+1,1),3)-DATE(YEAR($B$3),3*INT((MONTH($B$3)-1)/3)+1,1)),C28/(DATE(YEAR($B$3)+1,1,1)-DATE(YEAR($B$3),1,1)),IF($B$3=E28,C28,0))))</f>
        <v/>
      </c>
      <c r="I28" s="11">
        <f>IF(OR(C28="",D28=""),0,CHOOSE(MATCH(D28,Lists!$B$2:$B$7,0),C28,C28/7,C28*12/365,C28*4/365,C28/365,0))</f>
        <v/>
      </c>
    </row>
    <row r="29">
      <c r="A29" s="8" t="n"/>
      <c r="B29" s="8" t="n"/>
      <c r="C29" s="9" t="n"/>
      <c r="D29" s="8" t="n"/>
      <c r="E29" s="10" t="n"/>
      <c r="F29" s="10" t="n"/>
      <c r="G29" s="8" t="n"/>
      <c r="H29" s="11">
        <f>IF(OR(C29="",D29="",E29=""),0,IF(OR($B$3&lt;E29,AND(F29&lt;&gt;"",$B$3&gt;F29)),0,CHOOSE(MATCH(D29,Lists!$B$2:$B$7,0),C29,C29/7,C29/DAY(EOMONTH($B$3,0)),C29/(EDATE(DATE(YEAR($B$3),3*INT((MONTH($B$3)-1)/3)+1,1),3)-DATE(YEAR($B$3),3*INT((MONTH($B$3)-1)/3)+1,1)),C29/(DATE(YEAR($B$3)+1,1,1)-DATE(YEAR($B$3),1,1)),IF($B$3=E29,C29,0))))</f>
        <v/>
      </c>
      <c r="I29" s="11">
        <f>IF(OR(C29="",D29=""),0,CHOOSE(MATCH(D29,Lists!$B$2:$B$7,0),C29,C29/7,C29*12/365,C29*4/365,C29/365,0))</f>
        <v/>
      </c>
    </row>
    <row r="30">
      <c r="A30" s="8" t="n"/>
      <c r="B30" s="8" t="n"/>
      <c r="C30" s="9" t="n"/>
      <c r="D30" s="8" t="n"/>
      <c r="E30" s="10" t="n"/>
      <c r="F30" s="10" t="n"/>
      <c r="G30" s="8" t="n"/>
      <c r="H30" s="11">
        <f>IF(OR(C30="",D30="",E30=""),0,IF(OR($B$3&lt;E30,AND(F30&lt;&gt;"",$B$3&gt;F30)),0,CHOOSE(MATCH(D30,Lists!$B$2:$B$7,0),C30,C30/7,C30/DAY(EOMONTH($B$3,0)),C30/(EDATE(DATE(YEAR($B$3),3*INT((MONTH($B$3)-1)/3)+1,1),3)-DATE(YEAR($B$3),3*INT((MONTH($B$3)-1)/3)+1,1)),C30/(DATE(YEAR($B$3)+1,1,1)-DATE(YEAR($B$3),1,1)),IF($B$3=E30,C30,0))))</f>
        <v/>
      </c>
      <c r="I30" s="11">
        <f>IF(OR(C30="",D30=""),0,CHOOSE(MATCH(D30,Lists!$B$2:$B$7,0),C30,C30/7,C30*12/365,C30*4/365,C30/365,0))</f>
        <v/>
      </c>
    </row>
    <row r="31">
      <c r="A31" s="8" t="n"/>
      <c r="B31" s="8" t="n"/>
      <c r="C31" s="9" t="n"/>
      <c r="D31" s="8" t="n"/>
      <c r="E31" s="10" t="n"/>
      <c r="F31" s="10" t="n"/>
      <c r="G31" s="8" t="n"/>
      <c r="H31" s="11">
        <f>IF(OR(C31="",D31="",E31=""),0,IF(OR($B$3&lt;E31,AND(F31&lt;&gt;"",$B$3&gt;F31)),0,CHOOSE(MATCH(D31,Lists!$B$2:$B$7,0),C31,C31/7,C31/DAY(EOMONTH($B$3,0)),C31/(EDATE(DATE(YEAR($B$3),3*INT((MONTH($B$3)-1)/3)+1,1),3)-DATE(YEAR($B$3),3*INT((MONTH($B$3)-1)/3)+1,1)),C31/(DATE(YEAR($B$3)+1,1,1)-DATE(YEAR($B$3),1,1)),IF($B$3=E31,C31,0))))</f>
        <v/>
      </c>
      <c r="I31" s="11">
        <f>IF(OR(C31="",D31=""),0,CHOOSE(MATCH(D31,Lists!$B$2:$B$7,0),C31,C31/7,C31*12/365,C31*4/365,C31/365,0))</f>
        <v/>
      </c>
    </row>
    <row r="32">
      <c r="A32" s="8" t="n"/>
      <c r="B32" s="8" t="n"/>
      <c r="C32" s="9" t="n"/>
      <c r="D32" s="8" t="n"/>
      <c r="E32" s="10" t="n"/>
      <c r="F32" s="10" t="n"/>
      <c r="G32" s="8" t="n"/>
      <c r="H32" s="11">
        <f>IF(OR(C32="",D32="",E32=""),0,IF(OR($B$3&lt;E32,AND(F32&lt;&gt;"",$B$3&gt;F32)),0,CHOOSE(MATCH(D32,Lists!$B$2:$B$7,0),C32,C32/7,C32/DAY(EOMONTH($B$3,0)),C32/(EDATE(DATE(YEAR($B$3),3*INT((MONTH($B$3)-1)/3)+1,1),3)-DATE(YEAR($B$3),3*INT((MONTH($B$3)-1)/3)+1,1)),C32/(DATE(YEAR($B$3)+1,1,1)-DATE(YEAR($B$3),1,1)),IF($B$3=E32,C32,0))))</f>
        <v/>
      </c>
      <c r="I32" s="11">
        <f>IF(OR(C32="",D32=""),0,CHOOSE(MATCH(D32,Lists!$B$2:$B$7,0),C32,C32/7,C32*12/365,C32*4/365,C32/365,0))</f>
        <v/>
      </c>
    </row>
    <row r="33">
      <c r="A33" s="8" t="n"/>
      <c r="B33" s="8" t="n"/>
      <c r="C33" s="9" t="n"/>
      <c r="D33" s="8" t="n"/>
      <c r="E33" s="10" t="n"/>
      <c r="F33" s="10" t="n"/>
      <c r="G33" s="8" t="n"/>
      <c r="H33" s="11">
        <f>IF(OR(C33="",D33="",E33=""),0,IF(OR($B$3&lt;E33,AND(F33&lt;&gt;"",$B$3&gt;F33)),0,CHOOSE(MATCH(D33,Lists!$B$2:$B$7,0),C33,C33/7,C33/DAY(EOMONTH($B$3,0)),C33/(EDATE(DATE(YEAR($B$3),3*INT((MONTH($B$3)-1)/3)+1,1),3)-DATE(YEAR($B$3),3*INT((MONTH($B$3)-1)/3)+1,1)),C33/(DATE(YEAR($B$3)+1,1,1)-DATE(YEAR($B$3),1,1)),IF($B$3=E33,C33,0))))</f>
        <v/>
      </c>
      <c r="I33" s="11">
        <f>IF(OR(C33="",D33=""),0,CHOOSE(MATCH(D33,Lists!$B$2:$B$7,0),C33,C33/7,C33*12/365,C33*4/365,C33/365,0))</f>
        <v/>
      </c>
    </row>
    <row r="34">
      <c r="A34" s="8" t="n"/>
      <c r="B34" s="8" t="n"/>
      <c r="C34" s="9" t="n"/>
      <c r="D34" s="8" t="n"/>
      <c r="E34" s="10" t="n"/>
      <c r="F34" s="10" t="n"/>
      <c r="G34" s="8" t="n"/>
      <c r="H34" s="11">
        <f>IF(OR(C34="",D34="",E34=""),0,IF(OR($B$3&lt;E34,AND(F34&lt;&gt;"",$B$3&gt;F34)),0,CHOOSE(MATCH(D34,Lists!$B$2:$B$7,0),C34,C34/7,C34/DAY(EOMONTH($B$3,0)),C34/(EDATE(DATE(YEAR($B$3),3*INT((MONTH($B$3)-1)/3)+1,1),3)-DATE(YEAR($B$3),3*INT((MONTH($B$3)-1)/3)+1,1)),C34/(DATE(YEAR($B$3)+1,1,1)-DATE(YEAR($B$3),1,1)),IF($B$3=E34,C34,0))))</f>
        <v/>
      </c>
      <c r="I34" s="11">
        <f>IF(OR(C34="",D34=""),0,CHOOSE(MATCH(D34,Lists!$B$2:$B$7,0),C34,C34/7,C34*12/365,C34*4/365,C34/365,0))</f>
        <v/>
      </c>
    </row>
    <row r="35">
      <c r="A35" s="8" t="n"/>
      <c r="B35" s="8" t="n"/>
      <c r="C35" s="9" t="n"/>
      <c r="D35" s="8" t="n"/>
      <c r="E35" s="10" t="n"/>
      <c r="F35" s="10" t="n"/>
      <c r="G35" s="8" t="n"/>
      <c r="H35" s="11">
        <f>IF(OR(C35="",D35="",E35=""),0,IF(OR($B$3&lt;E35,AND(F35&lt;&gt;"",$B$3&gt;F35)),0,CHOOSE(MATCH(D35,Lists!$B$2:$B$7,0),C35,C35/7,C35/DAY(EOMONTH($B$3,0)),C35/(EDATE(DATE(YEAR($B$3),3*INT((MONTH($B$3)-1)/3)+1,1),3)-DATE(YEAR($B$3),3*INT((MONTH($B$3)-1)/3)+1,1)),C35/(DATE(YEAR($B$3)+1,1,1)-DATE(YEAR($B$3),1,1)),IF($B$3=E35,C35,0))))</f>
        <v/>
      </c>
      <c r="I35" s="11">
        <f>IF(OR(C35="",D35=""),0,CHOOSE(MATCH(D35,Lists!$B$2:$B$7,0),C35,C35/7,C35*12/365,C35*4/365,C35/365,0))</f>
        <v/>
      </c>
    </row>
    <row r="36">
      <c r="A36" s="8" t="n"/>
      <c r="B36" s="8" t="n"/>
      <c r="C36" s="9" t="n"/>
      <c r="D36" s="8" t="n"/>
      <c r="E36" s="10" t="n"/>
      <c r="F36" s="10" t="n"/>
      <c r="G36" s="8" t="n"/>
      <c r="H36" s="11">
        <f>IF(OR(C36="",D36="",E36=""),0,IF(OR($B$3&lt;E36,AND(F36&lt;&gt;"",$B$3&gt;F36)),0,CHOOSE(MATCH(D36,Lists!$B$2:$B$7,0),C36,C36/7,C36/DAY(EOMONTH($B$3,0)),C36/(EDATE(DATE(YEAR($B$3),3*INT((MONTH($B$3)-1)/3)+1,1),3)-DATE(YEAR($B$3),3*INT((MONTH($B$3)-1)/3)+1,1)),C36/(DATE(YEAR($B$3)+1,1,1)-DATE(YEAR($B$3),1,1)),IF($B$3=E36,C36,0))))</f>
        <v/>
      </c>
      <c r="I36" s="11">
        <f>IF(OR(C36="",D36=""),0,CHOOSE(MATCH(D36,Lists!$B$2:$B$7,0),C36,C36/7,C36*12/365,C36*4/365,C36/365,0))</f>
        <v/>
      </c>
    </row>
    <row r="37">
      <c r="A37" s="8" t="n"/>
      <c r="B37" s="8" t="n"/>
      <c r="C37" s="9" t="n"/>
      <c r="D37" s="8" t="n"/>
      <c r="E37" s="10" t="n"/>
      <c r="F37" s="10" t="n"/>
      <c r="G37" s="8" t="n"/>
      <c r="H37" s="11">
        <f>IF(OR(C37="",D37="",E37=""),0,IF(OR($B$3&lt;E37,AND(F37&lt;&gt;"",$B$3&gt;F37)),0,CHOOSE(MATCH(D37,Lists!$B$2:$B$7,0),C37,C37/7,C37/DAY(EOMONTH($B$3,0)),C37/(EDATE(DATE(YEAR($B$3),3*INT((MONTH($B$3)-1)/3)+1,1),3)-DATE(YEAR($B$3),3*INT((MONTH($B$3)-1)/3)+1,1)),C37/(DATE(YEAR($B$3)+1,1,1)-DATE(YEAR($B$3),1,1)),IF($B$3=E37,C37,0))))</f>
        <v/>
      </c>
      <c r="I37" s="11">
        <f>IF(OR(C37="",D37=""),0,CHOOSE(MATCH(D37,Lists!$B$2:$B$7,0),C37,C37/7,C37*12/365,C37*4/365,C37/365,0))</f>
        <v/>
      </c>
    </row>
    <row r="38">
      <c r="A38" s="8" t="n"/>
      <c r="B38" s="8" t="n"/>
      <c r="C38" s="9" t="n"/>
      <c r="D38" s="8" t="n"/>
      <c r="E38" s="10" t="n"/>
      <c r="F38" s="10" t="n"/>
      <c r="G38" s="8" t="n"/>
      <c r="H38" s="11">
        <f>IF(OR(C38="",D38="",E38=""),0,IF(OR($B$3&lt;E38,AND(F38&lt;&gt;"",$B$3&gt;F38)),0,CHOOSE(MATCH(D38,Lists!$B$2:$B$7,0),C38,C38/7,C38/DAY(EOMONTH($B$3,0)),C38/(EDATE(DATE(YEAR($B$3),3*INT((MONTH($B$3)-1)/3)+1,1),3)-DATE(YEAR($B$3),3*INT((MONTH($B$3)-1)/3)+1,1)),C38/(DATE(YEAR($B$3)+1,1,1)-DATE(YEAR($B$3),1,1)),IF($B$3=E38,C38,0))))</f>
        <v/>
      </c>
      <c r="I38" s="11">
        <f>IF(OR(C38="",D38=""),0,CHOOSE(MATCH(D38,Lists!$B$2:$B$7,0),C38,C38/7,C38*12/365,C38*4/365,C38/365,0))</f>
        <v/>
      </c>
    </row>
    <row r="39">
      <c r="A39" s="8" t="n"/>
      <c r="B39" s="8" t="n"/>
      <c r="C39" s="9" t="n"/>
      <c r="D39" s="8" t="n"/>
      <c r="E39" s="10" t="n"/>
      <c r="F39" s="10" t="n"/>
      <c r="G39" s="8" t="n"/>
      <c r="H39" s="11">
        <f>IF(OR(C39="",D39="",E39=""),0,IF(OR($B$3&lt;E39,AND(F39&lt;&gt;"",$B$3&gt;F39)),0,CHOOSE(MATCH(D39,Lists!$B$2:$B$7,0),C39,C39/7,C39/DAY(EOMONTH($B$3,0)),C39/(EDATE(DATE(YEAR($B$3),3*INT((MONTH($B$3)-1)/3)+1,1),3)-DATE(YEAR($B$3),3*INT((MONTH($B$3)-1)/3)+1,1)),C39/(DATE(YEAR($B$3)+1,1,1)-DATE(YEAR($B$3),1,1)),IF($B$3=E39,C39,0))))</f>
        <v/>
      </c>
      <c r="I39" s="11">
        <f>IF(OR(C39="",D39=""),0,CHOOSE(MATCH(D39,Lists!$B$2:$B$7,0),C39,C39/7,C39*12/365,C39*4/365,C39/365,0))</f>
        <v/>
      </c>
    </row>
    <row r="40">
      <c r="A40" s="8" t="n"/>
      <c r="B40" s="8" t="n"/>
      <c r="C40" s="9" t="n"/>
      <c r="D40" s="8" t="n"/>
      <c r="E40" s="10" t="n"/>
      <c r="F40" s="10" t="n"/>
      <c r="G40" s="8" t="n"/>
      <c r="H40" s="11">
        <f>IF(OR(C40="",D40="",E40=""),0,IF(OR($B$3&lt;E40,AND(F40&lt;&gt;"",$B$3&gt;F40)),0,CHOOSE(MATCH(D40,Lists!$B$2:$B$7,0),C40,C40/7,C40/DAY(EOMONTH($B$3,0)),C40/(EDATE(DATE(YEAR($B$3),3*INT((MONTH($B$3)-1)/3)+1,1),3)-DATE(YEAR($B$3),3*INT((MONTH($B$3)-1)/3)+1,1)),C40/(DATE(YEAR($B$3)+1,1,1)-DATE(YEAR($B$3),1,1)),IF($B$3=E40,C40,0))))</f>
        <v/>
      </c>
      <c r="I40" s="11">
        <f>IF(OR(C40="",D40=""),0,CHOOSE(MATCH(D40,Lists!$B$2:$B$7,0),C40,C40/7,C40*12/365,C40*4/365,C40/365,0))</f>
        <v/>
      </c>
    </row>
    <row r="41">
      <c r="A41" s="8" t="n"/>
      <c r="B41" s="8" t="n"/>
      <c r="C41" s="9" t="n"/>
      <c r="D41" s="8" t="n"/>
      <c r="E41" s="10" t="n"/>
      <c r="F41" s="10" t="n"/>
      <c r="G41" s="8" t="n"/>
      <c r="H41" s="11">
        <f>IF(OR(C41="",D41="",E41=""),0,IF(OR($B$3&lt;E41,AND(F41&lt;&gt;"",$B$3&gt;F41)),0,CHOOSE(MATCH(D41,Lists!$B$2:$B$7,0),C41,C41/7,C41/DAY(EOMONTH($B$3,0)),C41/(EDATE(DATE(YEAR($B$3),3*INT((MONTH($B$3)-1)/3)+1,1),3)-DATE(YEAR($B$3),3*INT((MONTH($B$3)-1)/3)+1,1)),C41/(DATE(YEAR($B$3)+1,1,1)-DATE(YEAR($B$3),1,1)),IF($B$3=E41,C41,0))))</f>
        <v/>
      </c>
      <c r="I41" s="11">
        <f>IF(OR(C41="",D41=""),0,CHOOSE(MATCH(D41,Lists!$B$2:$B$7,0),C41,C41/7,C41*12/365,C41*4/365,C41/365,0))</f>
        <v/>
      </c>
    </row>
    <row r="42">
      <c r="A42" s="8" t="n"/>
      <c r="B42" s="8" t="n"/>
      <c r="C42" s="9" t="n"/>
      <c r="D42" s="8" t="n"/>
      <c r="E42" s="10" t="n"/>
      <c r="F42" s="10" t="n"/>
      <c r="G42" s="8" t="n"/>
      <c r="H42" s="11">
        <f>IF(OR(C42="",D42="",E42=""),0,IF(OR($B$3&lt;E42,AND(F42&lt;&gt;"",$B$3&gt;F42)),0,CHOOSE(MATCH(D42,Lists!$B$2:$B$7,0),C42,C42/7,C42/DAY(EOMONTH($B$3,0)),C42/(EDATE(DATE(YEAR($B$3),3*INT((MONTH($B$3)-1)/3)+1,1),3)-DATE(YEAR($B$3),3*INT((MONTH($B$3)-1)/3)+1,1)),C42/(DATE(YEAR($B$3)+1,1,1)-DATE(YEAR($B$3),1,1)),IF($B$3=E42,C42,0))))</f>
        <v/>
      </c>
      <c r="I42" s="11">
        <f>IF(OR(C42="",D42=""),0,CHOOSE(MATCH(D42,Lists!$B$2:$B$7,0),C42,C42/7,C42*12/365,C42*4/365,C42/365,0))</f>
        <v/>
      </c>
    </row>
    <row r="43">
      <c r="A43" s="8" t="n"/>
      <c r="B43" s="8" t="n"/>
      <c r="C43" s="9" t="n"/>
      <c r="D43" s="8" t="n"/>
      <c r="E43" s="10" t="n"/>
      <c r="F43" s="10" t="n"/>
      <c r="G43" s="8" t="n"/>
      <c r="H43" s="11">
        <f>IF(OR(C43="",D43="",E43=""),0,IF(OR($B$3&lt;E43,AND(F43&lt;&gt;"",$B$3&gt;F43)),0,CHOOSE(MATCH(D43,Lists!$B$2:$B$7,0),C43,C43/7,C43/DAY(EOMONTH($B$3,0)),C43/(EDATE(DATE(YEAR($B$3),3*INT((MONTH($B$3)-1)/3)+1,1),3)-DATE(YEAR($B$3),3*INT((MONTH($B$3)-1)/3)+1,1)),C43/(DATE(YEAR($B$3)+1,1,1)-DATE(YEAR($B$3),1,1)),IF($B$3=E43,C43,0))))</f>
        <v/>
      </c>
      <c r="I43" s="11">
        <f>IF(OR(C43="",D43=""),0,CHOOSE(MATCH(D43,Lists!$B$2:$B$7,0),C43,C43/7,C43*12/365,C43*4/365,C43/365,0))</f>
        <v/>
      </c>
    </row>
    <row r="44">
      <c r="A44" s="8" t="n"/>
      <c r="B44" s="8" t="n"/>
      <c r="C44" s="9" t="n"/>
      <c r="D44" s="8" t="n"/>
      <c r="E44" s="10" t="n"/>
      <c r="F44" s="10" t="n"/>
      <c r="G44" s="8" t="n"/>
      <c r="H44" s="11">
        <f>IF(OR(C44="",D44="",E44=""),0,IF(OR($B$3&lt;E44,AND(F44&lt;&gt;"",$B$3&gt;F44)),0,CHOOSE(MATCH(D44,Lists!$B$2:$B$7,0),C44,C44/7,C44/DAY(EOMONTH($B$3,0)),C44/(EDATE(DATE(YEAR($B$3),3*INT((MONTH($B$3)-1)/3)+1,1),3)-DATE(YEAR($B$3),3*INT((MONTH($B$3)-1)/3)+1,1)),C44/(DATE(YEAR($B$3)+1,1,1)-DATE(YEAR($B$3),1,1)),IF($B$3=E44,C44,0))))</f>
        <v/>
      </c>
      <c r="I44" s="11">
        <f>IF(OR(C44="",D44=""),0,CHOOSE(MATCH(D44,Lists!$B$2:$B$7,0),C44,C44/7,C44*12/365,C44*4/365,C44/365,0))</f>
        <v/>
      </c>
    </row>
    <row r="45">
      <c r="A45" s="8" t="n"/>
      <c r="B45" s="8" t="n"/>
      <c r="C45" s="9" t="n"/>
      <c r="D45" s="8" t="n"/>
      <c r="E45" s="10" t="n"/>
      <c r="F45" s="10" t="n"/>
      <c r="G45" s="8" t="n"/>
      <c r="H45" s="11">
        <f>IF(OR(C45="",D45="",E45=""),0,IF(OR($B$3&lt;E45,AND(F45&lt;&gt;"",$B$3&gt;F45)),0,CHOOSE(MATCH(D45,Lists!$B$2:$B$7,0),C45,C45/7,C45/DAY(EOMONTH($B$3,0)),C45/(EDATE(DATE(YEAR($B$3),3*INT((MONTH($B$3)-1)/3)+1,1),3)-DATE(YEAR($B$3),3*INT((MONTH($B$3)-1)/3)+1,1)),C45/(DATE(YEAR($B$3)+1,1,1)-DATE(YEAR($B$3),1,1)),IF($B$3=E45,C45,0))))</f>
        <v/>
      </c>
      <c r="I45" s="11">
        <f>IF(OR(C45="",D45=""),0,CHOOSE(MATCH(D45,Lists!$B$2:$B$7,0),C45,C45/7,C45*12/365,C45*4/365,C45/365,0))</f>
        <v/>
      </c>
    </row>
    <row r="46">
      <c r="A46" s="8" t="n"/>
      <c r="B46" s="8" t="n"/>
      <c r="C46" s="9" t="n"/>
      <c r="D46" s="8" t="n"/>
      <c r="E46" s="10" t="n"/>
      <c r="F46" s="10" t="n"/>
      <c r="G46" s="8" t="n"/>
      <c r="H46" s="11">
        <f>IF(OR(C46="",D46="",E46=""),0,IF(OR($B$3&lt;E46,AND(F46&lt;&gt;"",$B$3&gt;F46)),0,CHOOSE(MATCH(D46,Lists!$B$2:$B$7,0),C46,C46/7,C46/DAY(EOMONTH($B$3,0)),C46/(EDATE(DATE(YEAR($B$3),3*INT((MONTH($B$3)-1)/3)+1,1),3)-DATE(YEAR($B$3),3*INT((MONTH($B$3)-1)/3)+1,1)),C46/(DATE(YEAR($B$3)+1,1,1)-DATE(YEAR($B$3),1,1)),IF($B$3=E46,C46,0))))</f>
        <v/>
      </c>
      <c r="I46" s="11">
        <f>IF(OR(C46="",D46=""),0,CHOOSE(MATCH(D46,Lists!$B$2:$B$7,0),C46,C46/7,C46*12/365,C46*4/365,C46/365,0))</f>
        <v/>
      </c>
    </row>
    <row r="47">
      <c r="A47" s="8" t="n"/>
      <c r="B47" s="8" t="n"/>
      <c r="C47" s="9" t="n"/>
      <c r="D47" s="8" t="n"/>
      <c r="E47" s="10" t="n"/>
      <c r="F47" s="10" t="n"/>
      <c r="G47" s="8" t="n"/>
      <c r="H47" s="11">
        <f>IF(OR(C47="",D47="",E47=""),0,IF(OR($B$3&lt;E47,AND(F47&lt;&gt;"",$B$3&gt;F47)),0,CHOOSE(MATCH(D47,Lists!$B$2:$B$7,0),C47,C47/7,C47/DAY(EOMONTH($B$3,0)),C47/(EDATE(DATE(YEAR($B$3),3*INT((MONTH($B$3)-1)/3)+1,1),3)-DATE(YEAR($B$3),3*INT((MONTH($B$3)-1)/3)+1,1)),C47/(DATE(YEAR($B$3)+1,1,1)-DATE(YEAR($B$3),1,1)),IF($B$3=E47,C47,0))))</f>
        <v/>
      </c>
      <c r="I47" s="11">
        <f>IF(OR(C47="",D47=""),0,CHOOSE(MATCH(D47,Lists!$B$2:$B$7,0),C47,C47/7,C47*12/365,C47*4/365,C47/365,0))</f>
        <v/>
      </c>
    </row>
    <row r="48">
      <c r="A48" s="8" t="n"/>
      <c r="B48" s="8" t="n"/>
      <c r="C48" s="9" t="n"/>
      <c r="D48" s="8" t="n"/>
      <c r="E48" s="10" t="n"/>
      <c r="F48" s="10" t="n"/>
      <c r="G48" s="8" t="n"/>
      <c r="H48" s="11">
        <f>IF(OR(C48="",D48="",E48=""),0,IF(OR($B$3&lt;E48,AND(F48&lt;&gt;"",$B$3&gt;F48)),0,CHOOSE(MATCH(D48,Lists!$B$2:$B$7,0),C48,C48/7,C48/DAY(EOMONTH($B$3,0)),C48/(EDATE(DATE(YEAR($B$3),3*INT((MONTH($B$3)-1)/3)+1,1),3)-DATE(YEAR($B$3),3*INT((MONTH($B$3)-1)/3)+1,1)),C48/(DATE(YEAR($B$3)+1,1,1)-DATE(YEAR($B$3),1,1)),IF($B$3=E48,C48,0))))</f>
        <v/>
      </c>
      <c r="I48" s="11">
        <f>IF(OR(C48="",D48=""),0,CHOOSE(MATCH(D48,Lists!$B$2:$B$7,0),C48,C48/7,C48*12/365,C48*4/365,C48/365,0))</f>
        <v/>
      </c>
    </row>
    <row r="49">
      <c r="A49" s="8" t="n"/>
      <c r="B49" s="8" t="n"/>
      <c r="C49" s="9" t="n"/>
      <c r="D49" s="8" t="n"/>
      <c r="E49" s="10" t="n"/>
      <c r="F49" s="10" t="n"/>
      <c r="G49" s="8" t="n"/>
      <c r="H49" s="11">
        <f>IF(OR(C49="",D49="",E49=""),0,IF(OR($B$3&lt;E49,AND(F49&lt;&gt;"",$B$3&gt;F49)),0,CHOOSE(MATCH(D49,Lists!$B$2:$B$7,0),C49,C49/7,C49/DAY(EOMONTH($B$3,0)),C49/(EDATE(DATE(YEAR($B$3),3*INT((MONTH($B$3)-1)/3)+1,1),3)-DATE(YEAR($B$3),3*INT((MONTH($B$3)-1)/3)+1,1)),C49/(DATE(YEAR($B$3)+1,1,1)-DATE(YEAR($B$3),1,1)),IF($B$3=E49,C49,0))))</f>
        <v/>
      </c>
      <c r="I49" s="11">
        <f>IF(OR(C49="",D49=""),0,CHOOSE(MATCH(D49,Lists!$B$2:$B$7,0),C49,C49/7,C49*12/365,C49*4/365,C49/365,0))</f>
        <v/>
      </c>
    </row>
    <row r="50">
      <c r="A50" s="8" t="n"/>
      <c r="B50" s="8" t="n"/>
      <c r="C50" s="9" t="n"/>
      <c r="D50" s="8" t="n"/>
      <c r="E50" s="10" t="n"/>
      <c r="F50" s="10" t="n"/>
      <c r="G50" s="8" t="n"/>
      <c r="H50" s="11">
        <f>IF(OR(C50="",D50="",E50=""),0,IF(OR($B$3&lt;E50,AND(F50&lt;&gt;"",$B$3&gt;F50)),0,CHOOSE(MATCH(D50,Lists!$B$2:$B$7,0),C50,C50/7,C50/DAY(EOMONTH($B$3,0)),C50/(EDATE(DATE(YEAR($B$3),3*INT((MONTH($B$3)-1)/3)+1,1),3)-DATE(YEAR($B$3),3*INT((MONTH($B$3)-1)/3)+1,1)),C50/(DATE(YEAR($B$3)+1,1,1)-DATE(YEAR($B$3),1,1)),IF($B$3=E50,C50,0))))</f>
        <v/>
      </c>
      <c r="I50" s="11">
        <f>IF(OR(C50="",D50=""),0,CHOOSE(MATCH(D50,Lists!$B$2:$B$7,0),C50,C50/7,C50*12/365,C50*4/365,C50/365,0))</f>
        <v/>
      </c>
    </row>
    <row r="51">
      <c r="A51" s="8" t="n"/>
      <c r="B51" s="8" t="n"/>
      <c r="C51" s="9" t="n"/>
      <c r="D51" s="8" t="n"/>
      <c r="E51" s="10" t="n"/>
      <c r="F51" s="10" t="n"/>
      <c r="G51" s="8" t="n"/>
      <c r="H51" s="11">
        <f>IF(OR(C51="",D51="",E51=""),0,IF(OR($B$3&lt;E51,AND(F51&lt;&gt;"",$B$3&gt;F51)),0,CHOOSE(MATCH(D51,Lists!$B$2:$B$7,0),C51,C51/7,C51/DAY(EOMONTH($B$3,0)),C51/(EDATE(DATE(YEAR($B$3),3*INT((MONTH($B$3)-1)/3)+1,1),3)-DATE(YEAR($B$3),3*INT((MONTH($B$3)-1)/3)+1,1)),C51/(DATE(YEAR($B$3)+1,1,1)-DATE(YEAR($B$3),1,1)),IF($B$3=E51,C51,0))))</f>
        <v/>
      </c>
      <c r="I51" s="11">
        <f>IF(OR(C51="",D51=""),0,CHOOSE(MATCH(D51,Lists!$B$2:$B$7,0),C51,C51/7,C51*12/365,C51*4/365,C51/365,0))</f>
        <v/>
      </c>
    </row>
    <row r="52">
      <c r="A52" s="8" t="n"/>
      <c r="B52" s="8" t="n"/>
      <c r="C52" s="9" t="n"/>
      <c r="D52" s="8" t="n"/>
      <c r="E52" s="10" t="n"/>
      <c r="F52" s="10" t="n"/>
      <c r="G52" s="8" t="n"/>
      <c r="H52" s="11">
        <f>IF(OR(C52="",D52="",E52=""),0,IF(OR($B$3&lt;E52,AND(F52&lt;&gt;"",$B$3&gt;F52)),0,CHOOSE(MATCH(D52,Lists!$B$2:$B$7,0),C52,C52/7,C52/DAY(EOMONTH($B$3,0)),C52/(EDATE(DATE(YEAR($B$3),3*INT((MONTH($B$3)-1)/3)+1,1),3)-DATE(YEAR($B$3),3*INT((MONTH($B$3)-1)/3)+1,1)),C52/(DATE(YEAR($B$3)+1,1,1)-DATE(YEAR($B$3),1,1)),IF($B$3=E52,C52,0))))</f>
        <v/>
      </c>
      <c r="I52" s="11">
        <f>IF(OR(C52="",D52=""),0,CHOOSE(MATCH(D52,Lists!$B$2:$B$7,0),C52,C52/7,C52*12/365,C52*4/365,C52/365,0))</f>
        <v/>
      </c>
    </row>
    <row r="53">
      <c r="A53" s="8" t="n"/>
      <c r="B53" s="8" t="n"/>
      <c r="C53" s="9" t="n"/>
      <c r="D53" s="8" t="n"/>
      <c r="E53" s="10" t="n"/>
      <c r="F53" s="10" t="n"/>
      <c r="G53" s="8" t="n"/>
      <c r="H53" s="11">
        <f>IF(OR(C53="",D53="",E53=""),0,IF(OR($B$3&lt;E53,AND(F53&lt;&gt;"",$B$3&gt;F53)),0,CHOOSE(MATCH(D53,Lists!$B$2:$B$7,0),C53,C53/7,C53/DAY(EOMONTH($B$3,0)),C53/(EDATE(DATE(YEAR($B$3),3*INT((MONTH($B$3)-1)/3)+1,1),3)-DATE(YEAR($B$3),3*INT((MONTH($B$3)-1)/3)+1,1)),C53/(DATE(YEAR($B$3)+1,1,1)-DATE(YEAR($B$3),1,1)),IF($B$3=E53,C53,0))))</f>
        <v/>
      </c>
      <c r="I53" s="11">
        <f>IF(OR(C53="",D53=""),0,CHOOSE(MATCH(D53,Lists!$B$2:$B$7,0),C53,C53/7,C53*12/365,C53*4/365,C53/365,0))</f>
        <v/>
      </c>
    </row>
    <row r="54">
      <c r="A54" s="8" t="n"/>
      <c r="B54" s="8" t="n"/>
      <c r="C54" s="9" t="n"/>
      <c r="D54" s="8" t="n"/>
      <c r="E54" s="10" t="n"/>
      <c r="F54" s="10" t="n"/>
      <c r="G54" s="8" t="n"/>
      <c r="H54" s="11">
        <f>IF(OR(C54="",D54="",E54=""),0,IF(OR($B$3&lt;E54,AND(F54&lt;&gt;"",$B$3&gt;F54)),0,CHOOSE(MATCH(D54,Lists!$B$2:$B$7,0),C54,C54/7,C54/DAY(EOMONTH($B$3,0)),C54/(EDATE(DATE(YEAR($B$3),3*INT((MONTH($B$3)-1)/3)+1,1),3)-DATE(YEAR($B$3),3*INT((MONTH($B$3)-1)/3)+1,1)),C54/(DATE(YEAR($B$3)+1,1,1)-DATE(YEAR($B$3),1,1)),IF($B$3=E54,C54,0))))</f>
        <v/>
      </c>
      <c r="I54" s="11">
        <f>IF(OR(C54="",D54=""),0,CHOOSE(MATCH(D54,Lists!$B$2:$B$7,0),C54,C54/7,C54*12/365,C54*4/365,C54/365,0))</f>
        <v/>
      </c>
    </row>
    <row r="55">
      <c r="A55" s="8" t="n"/>
      <c r="B55" s="8" t="n"/>
      <c r="C55" s="9" t="n"/>
      <c r="D55" s="8" t="n"/>
      <c r="E55" s="10" t="n"/>
      <c r="F55" s="10" t="n"/>
      <c r="G55" s="8" t="n"/>
      <c r="H55" s="11">
        <f>IF(OR(C55="",D55="",E55=""),0,IF(OR($B$3&lt;E55,AND(F55&lt;&gt;"",$B$3&gt;F55)),0,CHOOSE(MATCH(D55,Lists!$B$2:$B$7,0),C55,C55/7,C55/DAY(EOMONTH($B$3,0)),C55/(EDATE(DATE(YEAR($B$3),3*INT((MONTH($B$3)-1)/3)+1,1),3)-DATE(YEAR($B$3),3*INT((MONTH($B$3)-1)/3)+1,1)),C55/(DATE(YEAR($B$3)+1,1,1)-DATE(YEAR($B$3),1,1)),IF($B$3=E55,C55,0))))</f>
        <v/>
      </c>
      <c r="I55" s="11">
        <f>IF(OR(C55="",D55=""),0,CHOOSE(MATCH(D55,Lists!$B$2:$B$7,0),C55,C55/7,C55*12/365,C55*4/365,C55/365,0))</f>
        <v/>
      </c>
    </row>
    <row r="56">
      <c r="A56" s="8" t="n"/>
      <c r="B56" s="8" t="n"/>
      <c r="C56" s="9" t="n"/>
      <c r="D56" s="8" t="n"/>
      <c r="E56" s="10" t="n"/>
      <c r="F56" s="10" t="n"/>
      <c r="G56" s="8" t="n"/>
      <c r="H56" s="11">
        <f>IF(OR(C56="",D56="",E56=""),0,IF(OR($B$3&lt;E56,AND(F56&lt;&gt;"",$B$3&gt;F56)),0,CHOOSE(MATCH(D56,Lists!$B$2:$B$7,0),C56,C56/7,C56/DAY(EOMONTH($B$3,0)),C56/(EDATE(DATE(YEAR($B$3),3*INT((MONTH($B$3)-1)/3)+1,1),3)-DATE(YEAR($B$3),3*INT((MONTH($B$3)-1)/3)+1,1)),C56/(DATE(YEAR($B$3)+1,1,1)-DATE(YEAR($B$3),1,1)),IF($B$3=E56,C56,0))))</f>
        <v/>
      </c>
      <c r="I56" s="11">
        <f>IF(OR(C56="",D56=""),0,CHOOSE(MATCH(D56,Lists!$B$2:$B$7,0),C56,C56/7,C56*12/365,C56*4/365,C56/365,0))</f>
        <v/>
      </c>
    </row>
    <row r="57">
      <c r="A57" s="8" t="n"/>
      <c r="B57" s="8" t="n"/>
      <c r="C57" s="9" t="n"/>
      <c r="D57" s="8" t="n"/>
      <c r="E57" s="10" t="n"/>
      <c r="F57" s="10" t="n"/>
      <c r="G57" s="8" t="n"/>
      <c r="H57" s="11">
        <f>IF(OR(C57="",D57="",E57=""),0,IF(OR($B$3&lt;E57,AND(F57&lt;&gt;"",$B$3&gt;F57)),0,CHOOSE(MATCH(D57,Lists!$B$2:$B$7,0),C57,C57/7,C57/DAY(EOMONTH($B$3,0)),C57/(EDATE(DATE(YEAR($B$3),3*INT((MONTH($B$3)-1)/3)+1,1),3)-DATE(YEAR($B$3),3*INT((MONTH($B$3)-1)/3)+1,1)),C57/(DATE(YEAR($B$3)+1,1,1)-DATE(YEAR($B$3),1,1)),IF($B$3=E57,C57,0))))</f>
        <v/>
      </c>
      <c r="I57" s="11">
        <f>IF(OR(C57="",D57=""),0,CHOOSE(MATCH(D57,Lists!$B$2:$B$7,0),C57,C57/7,C57*12/365,C57*4/365,C57/365,0))</f>
        <v/>
      </c>
    </row>
    <row r="58">
      <c r="A58" s="8" t="n"/>
      <c r="B58" s="8" t="n"/>
      <c r="C58" s="9" t="n"/>
      <c r="D58" s="8" t="n"/>
      <c r="E58" s="10" t="n"/>
      <c r="F58" s="10" t="n"/>
      <c r="G58" s="8" t="n"/>
      <c r="H58" s="11">
        <f>IF(OR(C58="",D58="",E58=""),0,IF(OR($B$3&lt;E58,AND(F58&lt;&gt;"",$B$3&gt;F58)),0,CHOOSE(MATCH(D58,Lists!$B$2:$B$7,0),C58,C58/7,C58/DAY(EOMONTH($B$3,0)),C58/(EDATE(DATE(YEAR($B$3),3*INT((MONTH($B$3)-1)/3)+1,1),3)-DATE(YEAR($B$3),3*INT((MONTH($B$3)-1)/3)+1,1)),C58/(DATE(YEAR($B$3)+1,1,1)-DATE(YEAR($B$3),1,1)),IF($B$3=E58,C58,0))))</f>
        <v/>
      </c>
      <c r="I58" s="11">
        <f>IF(OR(C58="",D58=""),0,CHOOSE(MATCH(D58,Lists!$B$2:$B$7,0),C58,C58/7,C58*12/365,C58*4/365,C58/365,0))</f>
        <v/>
      </c>
    </row>
    <row r="59">
      <c r="A59" s="8" t="n"/>
      <c r="B59" s="8" t="n"/>
      <c r="C59" s="9" t="n"/>
      <c r="D59" s="8" t="n"/>
      <c r="E59" s="10" t="n"/>
      <c r="F59" s="10" t="n"/>
      <c r="G59" s="8" t="n"/>
      <c r="H59" s="11">
        <f>IF(OR(C59="",D59="",E59=""),0,IF(OR($B$3&lt;E59,AND(F59&lt;&gt;"",$B$3&gt;F59)),0,CHOOSE(MATCH(D59,Lists!$B$2:$B$7,0),C59,C59/7,C59/DAY(EOMONTH($B$3,0)),C59/(EDATE(DATE(YEAR($B$3),3*INT((MONTH($B$3)-1)/3)+1,1),3)-DATE(YEAR($B$3),3*INT((MONTH($B$3)-1)/3)+1,1)),C59/(DATE(YEAR($B$3)+1,1,1)-DATE(YEAR($B$3),1,1)),IF($B$3=E59,C59,0))))</f>
        <v/>
      </c>
      <c r="I59" s="11">
        <f>IF(OR(C59="",D59=""),0,CHOOSE(MATCH(D59,Lists!$B$2:$B$7,0),C59,C59/7,C59*12/365,C59*4/365,C59/365,0))</f>
        <v/>
      </c>
    </row>
    <row r="60">
      <c r="A60" s="8" t="n"/>
      <c r="B60" s="8" t="n"/>
      <c r="C60" s="9" t="n"/>
      <c r="D60" s="8" t="n"/>
      <c r="E60" s="10" t="n"/>
      <c r="F60" s="10" t="n"/>
      <c r="G60" s="8" t="n"/>
      <c r="H60" s="11">
        <f>IF(OR(C60="",D60="",E60=""),0,IF(OR($B$3&lt;E60,AND(F60&lt;&gt;"",$B$3&gt;F60)),0,CHOOSE(MATCH(D60,Lists!$B$2:$B$7,0),C60,C60/7,C60/DAY(EOMONTH($B$3,0)),C60/(EDATE(DATE(YEAR($B$3),3*INT((MONTH($B$3)-1)/3)+1,1),3)-DATE(YEAR($B$3),3*INT((MONTH($B$3)-1)/3)+1,1)),C60/(DATE(YEAR($B$3)+1,1,1)-DATE(YEAR($B$3),1,1)),IF($B$3=E60,C60,0))))</f>
        <v/>
      </c>
      <c r="I60" s="11">
        <f>IF(OR(C60="",D60=""),0,CHOOSE(MATCH(D60,Lists!$B$2:$B$7,0),C60,C60/7,C60*12/365,C60*4/365,C60/365,0))</f>
        <v/>
      </c>
    </row>
    <row r="61">
      <c r="A61" s="8" t="n"/>
      <c r="B61" s="8" t="n"/>
      <c r="C61" s="9" t="n"/>
      <c r="D61" s="8" t="n"/>
      <c r="E61" s="10" t="n"/>
      <c r="F61" s="10" t="n"/>
      <c r="G61" s="8" t="n"/>
      <c r="H61" s="11">
        <f>IF(OR(C61="",D61="",E61=""),0,IF(OR($B$3&lt;E61,AND(F61&lt;&gt;"",$B$3&gt;F61)),0,CHOOSE(MATCH(D61,Lists!$B$2:$B$7,0),C61,C61/7,C61/DAY(EOMONTH($B$3,0)),C61/(EDATE(DATE(YEAR($B$3),3*INT((MONTH($B$3)-1)/3)+1,1),3)-DATE(YEAR($B$3),3*INT((MONTH($B$3)-1)/3)+1,1)),C61/(DATE(YEAR($B$3)+1,1,1)-DATE(YEAR($B$3),1,1)),IF($B$3=E61,C61,0))))</f>
        <v/>
      </c>
      <c r="I61" s="11">
        <f>IF(OR(C61="",D61=""),0,CHOOSE(MATCH(D61,Lists!$B$2:$B$7,0),C61,C61/7,C61*12/365,C61*4/365,C61/365,0))</f>
        <v/>
      </c>
    </row>
    <row r="62">
      <c r="A62" s="8" t="n"/>
      <c r="B62" s="8" t="n"/>
      <c r="C62" s="9" t="n"/>
      <c r="D62" s="8" t="n"/>
      <c r="E62" s="10" t="n"/>
      <c r="F62" s="10" t="n"/>
      <c r="G62" s="8" t="n"/>
      <c r="H62" s="11">
        <f>IF(OR(C62="",D62="",E62=""),0,IF(OR($B$3&lt;E62,AND(F62&lt;&gt;"",$B$3&gt;F62)),0,CHOOSE(MATCH(D62,Lists!$B$2:$B$7,0),C62,C62/7,C62/DAY(EOMONTH($B$3,0)),C62/(EDATE(DATE(YEAR($B$3),3*INT((MONTH($B$3)-1)/3)+1,1),3)-DATE(YEAR($B$3),3*INT((MONTH($B$3)-1)/3)+1,1)),C62/(DATE(YEAR($B$3)+1,1,1)-DATE(YEAR($B$3),1,1)),IF($B$3=E62,C62,0))))</f>
        <v/>
      </c>
      <c r="I62" s="11">
        <f>IF(OR(C62="",D62=""),0,CHOOSE(MATCH(D62,Lists!$B$2:$B$7,0),C62,C62/7,C62*12/365,C62*4/365,C62/365,0))</f>
        <v/>
      </c>
    </row>
    <row r="63">
      <c r="A63" s="8" t="n"/>
      <c r="B63" s="8" t="n"/>
      <c r="C63" s="9" t="n"/>
      <c r="D63" s="8" t="n"/>
      <c r="E63" s="10" t="n"/>
      <c r="F63" s="10" t="n"/>
      <c r="G63" s="8" t="n"/>
      <c r="H63" s="11">
        <f>IF(OR(C63="",D63="",E63=""),0,IF(OR($B$3&lt;E63,AND(F63&lt;&gt;"",$B$3&gt;F63)),0,CHOOSE(MATCH(D63,Lists!$B$2:$B$7,0),C63,C63/7,C63/DAY(EOMONTH($B$3,0)),C63/(EDATE(DATE(YEAR($B$3),3*INT((MONTH($B$3)-1)/3)+1,1),3)-DATE(YEAR($B$3),3*INT((MONTH($B$3)-1)/3)+1,1)),C63/(DATE(YEAR($B$3)+1,1,1)-DATE(YEAR($B$3),1,1)),IF($B$3=E63,C63,0))))</f>
        <v/>
      </c>
      <c r="I63" s="11">
        <f>IF(OR(C63="",D63=""),0,CHOOSE(MATCH(D63,Lists!$B$2:$B$7,0),C63,C63/7,C63*12/365,C63*4/365,C63/365,0))</f>
        <v/>
      </c>
    </row>
    <row r="64">
      <c r="A64" s="8" t="n"/>
      <c r="B64" s="8" t="n"/>
      <c r="C64" s="9" t="n"/>
      <c r="D64" s="8" t="n"/>
      <c r="E64" s="10" t="n"/>
      <c r="F64" s="10" t="n"/>
      <c r="G64" s="8" t="n"/>
      <c r="H64" s="11">
        <f>IF(OR(C64="",D64="",E64=""),0,IF(OR($B$3&lt;E64,AND(F64&lt;&gt;"",$B$3&gt;F64)),0,CHOOSE(MATCH(D64,Lists!$B$2:$B$7,0),C64,C64/7,C64/DAY(EOMONTH($B$3,0)),C64/(EDATE(DATE(YEAR($B$3),3*INT((MONTH($B$3)-1)/3)+1,1),3)-DATE(YEAR($B$3),3*INT((MONTH($B$3)-1)/3)+1,1)),C64/(DATE(YEAR($B$3)+1,1,1)-DATE(YEAR($B$3),1,1)),IF($B$3=E64,C64,0))))</f>
        <v/>
      </c>
      <c r="I64" s="11">
        <f>IF(OR(C64="",D64=""),0,CHOOSE(MATCH(D64,Lists!$B$2:$B$7,0),C64,C64/7,C64*12/365,C64*4/365,C64/365,0))</f>
        <v/>
      </c>
    </row>
    <row r="65">
      <c r="A65" s="8" t="n"/>
      <c r="B65" s="8" t="n"/>
      <c r="C65" s="9" t="n"/>
      <c r="D65" s="8" t="n"/>
      <c r="E65" s="10" t="n"/>
      <c r="F65" s="10" t="n"/>
      <c r="G65" s="8" t="n"/>
      <c r="H65" s="11">
        <f>IF(OR(C65="",D65="",E65=""),0,IF(OR($B$3&lt;E65,AND(F65&lt;&gt;"",$B$3&gt;F65)),0,CHOOSE(MATCH(D65,Lists!$B$2:$B$7,0),C65,C65/7,C65/DAY(EOMONTH($B$3,0)),C65/(EDATE(DATE(YEAR($B$3),3*INT((MONTH($B$3)-1)/3)+1,1),3)-DATE(YEAR($B$3),3*INT((MONTH($B$3)-1)/3)+1,1)),C65/(DATE(YEAR($B$3)+1,1,1)-DATE(YEAR($B$3),1,1)),IF($B$3=E65,C65,0))))</f>
        <v/>
      </c>
      <c r="I65" s="11">
        <f>IF(OR(C65="",D65=""),0,CHOOSE(MATCH(D65,Lists!$B$2:$B$7,0),C65,C65/7,C65*12/365,C65*4/365,C65/365,0))</f>
        <v/>
      </c>
    </row>
    <row r="66">
      <c r="A66" s="8" t="n"/>
      <c r="B66" s="8" t="n"/>
      <c r="C66" s="9" t="n"/>
      <c r="D66" s="8" t="n"/>
      <c r="E66" s="10" t="n"/>
      <c r="F66" s="10" t="n"/>
      <c r="G66" s="8" t="n"/>
      <c r="H66" s="11">
        <f>IF(OR(C66="",D66="",E66=""),0,IF(OR($B$3&lt;E66,AND(F66&lt;&gt;"",$B$3&gt;F66)),0,CHOOSE(MATCH(D66,Lists!$B$2:$B$7,0),C66,C66/7,C66/DAY(EOMONTH($B$3,0)),C66/(EDATE(DATE(YEAR($B$3),3*INT((MONTH($B$3)-1)/3)+1,1),3)-DATE(YEAR($B$3),3*INT((MONTH($B$3)-1)/3)+1,1)),C66/(DATE(YEAR($B$3)+1,1,1)-DATE(YEAR($B$3),1,1)),IF($B$3=E66,C66,0))))</f>
        <v/>
      </c>
      <c r="I66" s="11">
        <f>IF(OR(C66="",D66=""),0,CHOOSE(MATCH(D66,Lists!$B$2:$B$7,0),C66,C66/7,C66*12/365,C66*4/365,C66/365,0))</f>
        <v/>
      </c>
    </row>
    <row r="67">
      <c r="A67" s="8" t="n"/>
      <c r="B67" s="8" t="n"/>
      <c r="C67" s="9" t="n"/>
      <c r="D67" s="8" t="n"/>
      <c r="E67" s="10" t="n"/>
      <c r="F67" s="10" t="n"/>
      <c r="G67" s="8" t="n"/>
      <c r="H67" s="11">
        <f>IF(OR(C67="",D67="",E67=""),0,IF(OR($B$3&lt;E67,AND(F67&lt;&gt;"",$B$3&gt;F67)),0,CHOOSE(MATCH(D67,Lists!$B$2:$B$7,0),C67,C67/7,C67/DAY(EOMONTH($B$3,0)),C67/(EDATE(DATE(YEAR($B$3),3*INT((MONTH($B$3)-1)/3)+1,1),3)-DATE(YEAR($B$3),3*INT((MONTH($B$3)-1)/3)+1,1)),C67/(DATE(YEAR($B$3)+1,1,1)-DATE(YEAR($B$3),1,1)),IF($B$3=E67,C67,0))))</f>
        <v/>
      </c>
      <c r="I67" s="11">
        <f>IF(OR(C67="",D67=""),0,CHOOSE(MATCH(D67,Lists!$B$2:$B$7,0),C67,C67/7,C67*12/365,C67*4/365,C67/365,0))</f>
        <v/>
      </c>
    </row>
    <row r="68">
      <c r="A68" s="8" t="n"/>
      <c r="B68" s="8" t="n"/>
      <c r="C68" s="9" t="n"/>
      <c r="D68" s="8" t="n"/>
      <c r="E68" s="10" t="n"/>
      <c r="F68" s="10" t="n"/>
      <c r="G68" s="8" t="n"/>
      <c r="H68" s="11">
        <f>IF(OR(C68="",D68="",E68=""),0,IF(OR($B$3&lt;E68,AND(F68&lt;&gt;"",$B$3&gt;F68)),0,CHOOSE(MATCH(D68,Lists!$B$2:$B$7,0),C68,C68/7,C68/DAY(EOMONTH($B$3,0)),C68/(EDATE(DATE(YEAR($B$3),3*INT((MONTH($B$3)-1)/3)+1,1),3)-DATE(YEAR($B$3),3*INT((MONTH($B$3)-1)/3)+1,1)),C68/(DATE(YEAR($B$3)+1,1,1)-DATE(YEAR($B$3),1,1)),IF($B$3=E68,C68,0))))</f>
        <v/>
      </c>
      <c r="I68" s="11">
        <f>IF(OR(C68="",D68=""),0,CHOOSE(MATCH(D68,Lists!$B$2:$B$7,0),C68,C68/7,C68*12/365,C68*4/365,C68/365,0))</f>
        <v/>
      </c>
    </row>
  </sheetData>
  <mergeCells count="1">
    <mergeCell ref="A2:I2"/>
  </mergeCells>
  <dataValidations count="3">
    <dataValidation sqref="B9:B68" showDropDown="0" showInputMessage="0" showErrorMessage="0" allowBlank="1" type="list">
      <formula1>=Lists!$A$2:$A$10</formula1>
    </dataValidation>
    <dataValidation sqref="D9:D68" showDropDown="0" showInputMessage="0" showErrorMessage="0" allowBlank="1" type="list">
      <formula1>=Lists!$B$2:$B$7</formula1>
    </dataValidation>
    <dataValidation sqref="C9:C6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" t="inlineStr">
        <is>
          <t>Category</t>
        </is>
      </c>
      <c r="B1" s="3" t="inlineStr">
        <is>
          <t>Billed</t>
        </is>
      </c>
    </row>
    <row r="2">
      <c r="A2" s="12" t="inlineStr">
        <is>
          <t>Rent</t>
        </is>
      </c>
      <c r="B2" s="12" t="inlineStr">
        <is>
          <t>Every day</t>
        </is>
      </c>
    </row>
    <row r="3">
      <c r="A3" s="12" t="inlineStr">
        <is>
          <t>Utilities</t>
        </is>
      </c>
      <c r="B3" s="12" t="inlineStr">
        <is>
          <t>Weekly</t>
        </is>
      </c>
    </row>
    <row r="4">
      <c r="A4" s="12" t="inlineStr">
        <is>
          <t>Insurance</t>
        </is>
      </c>
      <c r="B4" s="12" t="inlineStr">
        <is>
          <t>Monthly</t>
        </is>
      </c>
    </row>
    <row r="5">
      <c r="A5" s="12" t="inlineStr">
        <is>
          <t>Software</t>
        </is>
      </c>
      <c r="B5" s="12" t="inlineStr">
        <is>
          <t>Quarterly</t>
        </is>
      </c>
    </row>
    <row r="6">
      <c r="A6" s="12" t="inlineStr">
        <is>
          <t>Truck (lease, plates, upkeep)</t>
        </is>
      </c>
      <c r="B6" s="12" t="inlineStr">
        <is>
          <t>Yearly</t>
        </is>
      </c>
    </row>
    <row r="7">
      <c r="A7" s="12" t="inlineStr">
        <is>
          <t>Advertising</t>
        </is>
      </c>
      <c r="B7" s="12" t="inlineStr">
        <is>
          <t>One time</t>
        </is>
      </c>
    </row>
    <row r="8">
      <c r="A8" s="12" t="inlineStr">
        <is>
          <t>Card &amp; bank fees</t>
        </is>
      </c>
    </row>
    <row r="9">
      <c r="A9" s="12" t="inlineStr">
        <is>
          <t>Loan &amp; interest</t>
        </is>
      </c>
    </row>
    <row r="10">
      <c r="A10" s="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2026-10-09T00:36:14Z</dcterms:created>
  <dcterms:modified xsi:type="dcterms:W3CDTF">2026-10-09T00:36:14Z</dcterms:modified>
</cp:coreProperties>
</file>